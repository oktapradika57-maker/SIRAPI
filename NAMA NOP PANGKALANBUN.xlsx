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Sheet1!$A$1:$B$45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<sst xmlns="http://schemas.openxmlformats.org/spreadsheetml/2006/main" count="114" uniqueCount="56">
  <si>
    <t>NAMA</t>
  </si>
  <si>
    <t>NOP</t>
  </si>
  <si>
    <t>Latitude</t>
  </si>
  <si>
    <t>Longtitude</t>
  </si>
  <si>
    <t>AGUS SUGANDA</t>
  </si>
  <si>
    <t>NOP PANGKALAN BUN</t>
  </si>
  <si>
    <t>AJI SAPUTRA</t>
  </si>
  <si>
    <t>DANDI PUTRA</t>
  </si>
  <si>
    <t>DIAN WAHYUDI</t>
  </si>
  <si>
    <t>DIAN WILDANI</t>
  </si>
  <si>
    <t>HAFID BUDIANTO</t>
  </si>
  <si>
    <t>HERWANI</t>
  </si>
  <si>
    <t>IWAN ZAINAL ABIDIN</t>
  </si>
  <si>
    <t>PARYADI KUSUMA</t>
  </si>
  <si>
    <t>PONIRAN</t>
  </si>
  <si>
    <t>ANDARIANTO PUJI SURO</t>
  </si>
  <si>
    <t>ARDI</t>
  </si>
  <si>
    <t>CAVIN ANDREAN EKA PUTRA</t>
  </si>
  <si>
    <t>DADANG WAHYU SYAHPUTRA</t>
  </si>
  <si>
    <t>FERI HARIADI</t>
  </si>
  <si>
    <t>JOENDRIS HERDIAN KARA</t>
  </si>
  <si>
    <t>NASUKI</t>
  </si>
  <si>
    <t>REDI CANDRA SINAGA</t>
  </si>
  <si>
    <t>RIZAL IHZAMAHENDRA</t>
  </si>
  <si>
    <t>SOLEKHAN</t>
  </si>
  <si>
    <t>STEVEN HERDIAN KARA</t>
  </si>
  <si>
    <t>TEGUH WICAKSONO</t>
  </si>
  <si>
    <t>YUDIONO</t>
  </si>
  <si>
    <t>IPAN HARIONO</t>
  </si>
  <si>
    <t>DIDIK PRIYONO</t>
  </si>
  <si>
    <t>MUHAMAD ROIS FERDIANSYAH</t>
  </si>
  <si>
    <t>WIDI ARYANTO</t>
  </si>
  <si>
    <t>HERMANSYAH</t>
  </si>
  <si>
    <t>MUHAMMAD RIZKY</t>
  </si>
  <si>
    <t>RIDWANSYAH</t>
  </si>
  <si>
    <t>TRIYONO</t>
  </si>
  <si>
    <t>UTI MUHAMMAD KHAIRUL HUDA</t>
  </si>
  <si>
    <t>ARDIANSYAH</t>
  </si>
  <si>
    <t>BAGUS SANTOSO</t>
  </si>
  <si>
    <t>BONDAN PRAMUDYA ANANTATUR</t>
  </si>
  <si>
    <t>M.ABDUL KHOLIP</t>
  </si>
  <si>
    <t>MUJHAHID ALWI</t>
  </si>
  <si>
    <t>RIRIH HARIANTO</t>
  </si>
  <si>
    <t>TAJAM SAPUTRA</t>
  </si>
  <si>
    <t>WAHYUDI</t>
  </si>
  <si>
    <t>DAYU SHANDY</t>
  </si>
  <si>
    <t>MEI NUGROHO DWI LAKSONO</t>
  </si>
  <si>
    <t>ARIF JONIAWAN</t>
  </si>
  <si>
    <t>FIRDAUS</t>
  </si>
  <si>
    <t>-2.51152</t>
  </si>
  <si>
    <t>112.93989</t>
  </si>
  <si>
    <t>AYU NUR ISLAMIAH</t>
  </si>
  <si>
    <t>RAHMAT RIYAN WAHYUDIN</t>
  </si>
  <si>
    <t>RONI YUDI ISYANTO</t>
  </si>
  <si>
    <t>FHANNY AGUSTIAWAN</t>
  </si>
  <si>
    <t>SUWITO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</si>
</sst>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Calibri Light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Fill="1" applyAlignment="1"/>
    <xf numFmtId="0" fontId="0" fillId="0" borderId="1" xfId="0" applyFill="1" applyBorder="1" applyAlignment="1"/>
    <xf numFmtId="0" fontId="2" fillId="3" borderId="1" xfId="0" applyFont="1" applyFill="1" applyBorder="1" applyAlignment="1">
      <alignment horizontal="left" wrapText="1"/>
    </xf>
    <xf numFmtId="0" fontId="0" fillId="0" borderId="1" xfId="0" applyBorder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onglat%20Team%20FME%20PBU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ME"/>
      <sheetName val="Productivity Sep"/>
    </sheetNames>
    <sheetDataSet>
      <sheetData sheetId="0">
        <row r="2">
          <cell r="B2" t="str">
            <v>RIZAL IHZAMAHENDRA</v>
          </cell>
          <cell r="C2" t="str">
            <v>SAMPIT</v>
          </cell>
          <cell r="D2" t="str">
            <v>CME</v>
          </cell>
          <cell r="E2" t="str">
            <v>-2.5388</v>
          </cell>
          <cell r="F2" t="str">
            <v>112.8923</v>
          </cell>
        </row>
        <row r="3">
          <cell r="B3" t="str">
            <v>HAFID BUDIANTO</v>
          </cell>
          <cell r="C3" t="str">
            <v>KETAPANG</v>
          </cell>
          <cell r="D3" t="str">
            <v>CME</v>
          </cell>
          <cell r="E3" t="str">
            <v>-1.488357</v>
          </cell>
          <cell r="F3" t="str">
            <v>110.567107</v>
          </cell>
        </row>
        <row r="4">
          <cell r="B4" t="str">
            <v>JOENDRIS HERDIAN KARA</v>
          </cell>
          <cell r="C4" t="str">
            <v>PANGKALANBUN</v>
          </cell>
          <cell r="D4" t="str">
            <v>CME</v>
          </cell>
          <cell r="E4" t="str">
            <v>-2.70034</v>
          </cell>
          <cell r="F4" t="str">
            <v>111.6329</v>
          </cell>
        </row>
        <row r="5">
          <cell r="B5" t="str">
            <v>DIAN WILDANI</v>
          </cell>
          <cell r="C5" t="str">
            <v>KETAPANG</v>
          </cell>
          <cell r="D5" t="str">
            <v>MBP</v>
          </cell>
          <cell r="E5" t="str">
            <v>-2.521661</v>
          </cell>
          <cell r="F5" t="str">
            <v>110.209177</v>
          </cell>
        </row>
        <row r="6">
          <cell r="B6" t="str">
            <v>AGUS SUGANDA</v>
          </cell>
          <cell r="C6" t="str">
            <v>KETAPANG</v>
          </cell>
          <cell r="D6" t="str">
            <v>MBP</v>
          </cell>
          <cell r="E6" t="str">
            <v>-1.870035</v>
          </cell>
          <cell r="F6" t="str">
            <v>109.969371</v>
          </cell>
        </row>
        <row r="7">
          <cell r="B7" t="str">
            <v>AJI SAPUTRA</v>
          </cell>
          <cell r="C7" t="str">
            <v>KETAPANG</v>
          </cell>
          <cell r="D7" t="str">
            <v>MBP</v>
          </cell>
          <cell r="E7" t="str">
            <v>-1.102318</v>
          </cell>
          <cell r="F7" t="str">
            <v>109.961244</v>
          </cell>
        </row>
        <row r="8">
          <cell r="B8" t="str">
            <v>DANDI PUTRA</v>
          </cell>
          <cell r="C8" t="str">
            <v>KETAPANG</v>
          </cell>
          <cell r="D8" t="str">
            <v>MBP</v>
          </cell>
          <cell r="E8" t="str">
            <v>-1.85291</v>
          </cell>
          <cell r="F8" t="str">
            <v>109.958184</v>
          </cell>
        </row>
        <row r="9">
          <cell r="B9" t="str">
            <v>DIAN WAHYUDI</v>
          </cell>
          <cell r="C9" t="str">
            <v>KETAPANG</v>
          </cell>
          <cell r="D9" t="str">
            <v>MBP</v>
          </cell>
          <cell r="E9" t="str">
            <v>-1.25064</v>
          </cell>
          <cell r="F9" t="str">
            <v>110.51905</v>
          </cell>
        </row>
        <row r="10">
          <cell r="B10" t="str">
            <v>HERWANI</v>
          </cell>
          <cell r="C10" t="str">
            <v>KETAPANG</v>
          </cell>
          <cell r="D10" t="str">
            <v>MBP</v>
          </cell>
          <cell r="E10" t="str">
            <v>-1.246109</v>
          </cell>
          <cell r="F10" t="str">
            <v>110.521564</v>
          </cell>
        </row>
        <row r="11">
          <cell r="B11" t="str">
            <v>IWAN ZAINAL ABIDIN</v>
          </cell>
          <cell r="C11" t="str">
            <v>KETAPANG</v>
          </cell>
          <cell r="D11" t="str">
            <v>MBP</v>
          </cell>
          <cell r="E11" t="str">
            <v>-1.826717</v>
          </cell>
          <cell r="F11" t="str">
            <v>110.61551</v>
          </cell>
        </row>
        <row r="12">
          <cell r="B12" t="str">
            <v>PARYADI KUSUMA</v>
          </cell>
          <cell r="C12" t="str">
            <v>KETAPANG</v>
          </cell>
          <cell r="D12" t="str">
            <v>MBP</v>
          </cell>
          <cell r="E12" t="str">
            <v>-2.316346</v>
          </cell>
          <cell r="F12" t="str">
            <v>110.824226</v>
          </cell>
        </row>
        <row r="13">
          <cell r="B13" t="str">
            <v>PONIRAN</v>
          </cell>
          <cell r="C13" t="str">
            <v>KETAPANG</v>
          </cell>
          <cell r="D13" t="str">
            <v>MBP</v>
          </cell>
          <cell r="E13" t="str">
            <v>-2.45948</v>
          </cell>
          <cell r="F13" t="str">
            <v>111.027334</v>
          </cell>
        </row>
        <row r="14">
          <cell r="B14" t="str">
            <v>CAVIN ANDREAN EKA PUTRA</v>
          </cell>
          <cell r="C14" t="str">
            <v>PANGKALANBUN</v>
          </cell>
          <cell r="D14" t="str">
            <v>MBP</v>
          </cell>
          <cell r="E14" t="str">
            <v>-2.193976</v>
          </cell>
          <cell r="F14" t="str">
            <v>111.4407631</v>
          </cell>
        </row>
        <row r="15">
          <cell r="B15" t="str">
            <v>DADANG WAHYU SYAHPUTRA</v>
          </cell>
          <cell r="C15" t="str">
            <v>PANGKALANBUN</v>
          </cell>
          <cell r="D15" t="str">
            <v>MBP</v>
          </cell>
          <cell r="E15" t="str">
            <v>-2.4241526</v>
          </cell>
          <cell r="F15" t="str">
            <v>111.1016752</v>
          </cell>
        </row>
        <row r="16">
          <cell r="B16" t="str">
            <v>STEVEN HERDIAN KARA</v>
          </cell>
          <cell r="C16" t="str">
            <v>PANGKALANBUN</v>
          </cell>
          <cell r="D16" t="str">
            <v>MBP</v>
          </cell>
          <cell r="E16" t="str">
            <v>-2.70034</v>
          </cell>
          <cell r="F16" t="str">
            <v>111.6329</v>
          </cell>
        </row>
        <row r="17">
          <cell r="B17" t="str">
            <v>YUDIONO</v>
          </cell>
          <cell r="C17" t="str">
            <v>PANGKALANBUN</v>
          </cell>
          <cell r="D17" t="str">
            <v>MBP</v>
          </cell>
          <cell r="E17" t="str">
            <v>-2.517327</v>
          </cell>
          <cell r="F17" t="str">
            <v>111.7697441</v>
          </cell>
        </row>
        <row r="18">
          <cell r="B18" t="str">
            <v>ARDI</v>
          </cell>
          <cell r="C18" t="str">
            <v>PANGKALANBUN</v>
          </cell>
          <cell r="D18" t="str">
            <v>MBP</v>
          </cell>
          <cell r="E18" t="str">
            <v>-2.185169</v>
          </cell>
          <cell r="F18" t="str">
            <v>111.452512</v>
          </cell>
        </row>
        <row r="19">
          <cell r="B19" t="str">
            <v>ANDARIANTO PUJI SURO</v>
          </cell>
          <cell r="C19" t="str">
            <v>SAMPIT</v>
          </cell>
          <cell r="D19" t="str">
            <v>MBP</v>
          </cell>
          <cell r="E19" t="str">
            <v>-3.3833150</v>
          </cell>
          <cell r="F19" t="str">
            <v>112.5405820</v>
          </cell>
        </row>
        <row r="20">
          <cell r="B20" t="str">
            <v>FERI HARIADI</v>
          </cell>
          <cell r="C20" t="str">
            <v>SAMPIT</v>
          </cell>
          <cell r="D20" t="str">
            <v>MBP</v>
          </cell>
          <cell r="E20" t="str">
            <v>-2.463143</v>
          </cell>
          <cell r="F20" t="str">
            <v>112.44791</v>
          </cell>
        </row>
        <row r="21">
          <cell r="B21" t="str">
            <v>NASUKI</v>
          </cell>
          <cell r="C21" t="str">
            <v>SAMPIT</v>
          </cell>
          <cell r="D21" t="str">
            <v>MBP</v>
          </cell>
          <cell r="E21" t="str">
            <v>-2.52924</v>
          </cell>
          <cell r="F21">
            <v>112.94876</v>
          </cell>
        </row>
        <row r="22">
          <cell r="B22" t="str">
            <v>SOLEKHAN</v>
          </cell>
          <cell r="C22" t="str">
            <v>SAMPIT</v>
          </cell>
          <cell r="D22" t="str">
            <v>MBP</v>
          </cell>
          <cell r="E22" t="str">
            <v>-1.859777</v>
          </cell>
          <cell r="F22" t="str">
            <v>112.664680</v>
          </cell>
        </row>
        <row r="23">
          <cell r="B23" t="str">
            <v>TEGUH WICAKSONO</v>
          </cell>
          <cell r="C23" t="str">
            <v>SAMPIT</v>
          </cell>
          <cell r="D23" t="str">
            <v>MBP</v>
          </cell>
          <cell r="E23" t="str">
            <v>-2.461650</v>
          </cell>
          <cell r="F23" t="str">
            <v>112.447721</v>
          </cell>
        </row>
        <row r="24">
          <cell r="B24" t="str">
            <v>REDI CANDRA SINAGA</v>
          </cell>
          <cell r="C24" t="str">
            <v>SAMPIT</v>
          </cell>
          <cell r="D24" t="str">
            <v>MBP</v>
          </cell>
          <cell r="E24" t="str">
            <v>-2.022953</v>
          </cell>
          <cell r="F24" t="str">
            <v>112.788943</v>
          </cell>
        </row>
        <row r="25">
          <cell r="B25" t="str">
            <v>IPAN HARIONO</v>
          </cell>
          <cell r="C25" t="str">
            <v>KETAPANG</v>
          </cell>
          <cell r="D25" t="str">
            <v>PM</v>
          </cell>
          <cell r="E25" t="str">
            <v>-1.821824</v>
          </cell>
          <cell r="F25" t="str">
            <v>109.959643</v>
          </cell>
        </row>
        <row r="26">
          <cell r="B26" t="str">
            <v>DIDIK PRIYONO</v>
          </cell>
          <cell r="C26" t="str">
            <v>PANGKALANBUN</v>
          </cell>
          <cell r="D26" t="str">
            <v>PM</v>
          </cell>
          <cell r="E26" t="str">
            <v>-2.7118</v>
          </cell>
          <cell r="F26" t="str">
            <v>111.6423</v>
          </cell>
        </row>
        <row r="27">
          <cell r="B27" t="str">
            <v>MUHAMAD ROIS FERDIANSYAH</v>
          </cell>
          <cell r="C27" t="str">
            <v>SAMPIT</v>
          </cell>
          <cell r="D27" t="str">
            <v>PM</v>
          </cell>
          <cell r="E27" t="str">
            <v>-2.51152</v>
          </cell>
          <cell r="F27" t="str">
            <v>112.93989</v>
          </cell>
        </row>
        <row r="28">
          <cell r="B28" t="str">
            <v>WIDI ARYANTO</v>
          </cell>
          <cell r="C28" t="str">
            <v>SAMPIT</v>
          </cell>
          <cell r="D28" t="str">
            <v>PM</v>
          </cell>
          <cell r="E28" t="str">
            <v>-2.51152</v>
          </cell>
          <cell r="F28" t="str">
            <v>112.93989</v>
          </cell>
        </row>
        <row r="29">
          <cell r="B29" t="str">
            <v>RIDWANSYAH</v>
          </cell>
          <cell r="C29" t="str">
            <v>KETAPANG</v>
          </cell>
          <cell r="D29" t="str">
            <v>TE</v>
          </cell>
          <cell r="E29" t="str">
            <v>-1.194989</v>
          </cell>
          <cell r="F29" t="str">
            <v>110.008519</v>
          </cell>
        </row>
        <row r="30">
          <cell r="B30" t="str">
            <v>MUHAMMAD RIZKY</v>
          </cell>
          <cell r="C30" t="str">
            <v>KETAPANG</v>
          </cell>
          <cell r="D30" t="str">
            <v>TE</v>
          </cell>
          <cell r="E30" t="str">
            <v>-1.827840</v>
          </cell>
          <cell r="F30" t="str">
            <v>110.611589</v>
          </cell>
        </row>
        <row r="31">
          <cell r="B31" t="str">
            <v>TRIYONO</v>
          </cell>
          <cell r="C31" t="str">
            <v>KETAPANG</v>
          </cell>
          <cell r="D31" t="str">
            <v>TE</v>
          </cell>
          <cell r="E31" t="str">
            <v>-2.29781</v>
          </cell>
          <cell r="F31" t="str">
            <v>110.84351</v>
          </cell>
        </row>
        <row r="32">
          <cell r="B32" t="str">
            <v>UTI MUHAMMAD KHAIRUL HUDA</v>
          </cell>
          <cell r="C32" t="str">
            <v>KETAPANG</v>
          </cell>
          <cell r="D32" t="str">
            <v>TE</v>
          </cell>
          <cell r="E32" t="str">
            <v>-1.849856</v>
          </cell>
          <cell r="F32" t="str">
            <v>109.979862</v>
          </cell>
        </row>
        <row r="33">
          <cell r="B33" t="str">
            <v>HERMANSYAH</v>
          </cell>
          <cell r="C33" t="str">
            <v>KETAPANG</v>
          </cell>
          <cell r="D33" t="str">
            <v>TE</v>
          </cell>
          <cell r="E33" t="str">
            <v>-1.472642</v>
          </cell>
          <cell r="F33" t="str">
            <v>110.559704</v>
          </cell>
        </row>
        <row r="34">
          <cell r="B34" t="str">
            <v>BAGUS SANTOSO</v>
          </cell>
          <cell r="C34" t="str">
            <v>PANGKALANBUN</v>
          </cell>
          <cell r="D34" t="str">
            <v>TE</v>
          </cell>
          <cell r="E34" t="str">
            <v>-2.722527</v>
          </cell>
          <cell r="F34" t="str">
            <v>111.583390</v>
          </cell>
        </row>
        <row r="35">
          <cell r="B35" t="str">
            <v>M.ABDUL KHOLIP</v>
          </cell>
          <cell r="C35" t="str">
            <v>PANGKALANBUN</v>
          </cell>
          <cell r="D35" t="str">
            <v>TE</v>
          </cell>
          <cell r="E35" t="str">
            <v>-2.6689</v>
          </cell>
          <cell r="F35" t="str">
            <v>111.65701</v>
          </cell>
        </row>
        <row r="36">
          <cell r="B36" t="str">
            <v>RIRIH HARIANTO</v>
          </cell>
          <cell r="C36" t="str">
            <v>PANGKALANBUN</v>
          </cell>
          <cell r="D36" t="str">
            <v>TE</v>
          </cell>
          <cell r="E36" t="str">
            <v>-2.708090</v>
          </cell>
          <cell r="F36" t="str">
            <v>111.622607</v>
          </cell>
        </row>
        <row r="37">
          <cell r="B37" t="str">
            <v>BONDAN PRAMUDYA ANANTATUR</v>
          </cell>
          <cell r="C37" t="str">
            <v>SAMPIT</v>
          </cell>
          <cell r="D37" t="str">
            <v>TE</v>
          </cell>
          <cell r="E37" t="str">
            <v>-2.03423</v>
          </cell>
          <cell r="F37" t="str">
            <v>112.79966</v>
          </cell>
        </row>
        <row r="38">
          <cell r="B38" t="str">
            <v>ARDIANSYAH</v>
          </cell>
          <cell r="C38" t="str">
            <v>SAMPIT</v>
          </cell>
          <cell r="D38" t="str">
            <v>TE</v>
          </cell>
          <cell r="E38" t="str">
            <v>-1.861329</v>
          </cell>
          <cell r="F38" t="str">
            <v>112.659606</v>
          </cell>
        </row>
        <row r="39">
          <cell r="B39" t="str">
            <v>MUJHAHID ALWI</v>
          </cell>
          <cell r="C39" t="str">
            <v>SAMPIT</v>
          </cell>
          <cell r="D39" t="str">
            <v>TE</v>
          </cell>
          <cell r="E39" t="str">
            <v>-2.51152</v>
          </cell>
          <cell r="F39" t="str">
            <v>112.93989</v>
          </cell>
        </row>
        <row r="40">
          <cell r="B40" t="str">
            <v>TAJAM SAPUTRA</v>
          </cell>
          <cell r="C40" t="str">
            <v>SAMPIT</v>
          </cell>
          <cell r="D40" t="str">
            <v>TE</v>
          </cell>
          <cell r="E40" t="str">
            <v>-2.519362</v>
          </cell>
          <cell r="F40" t="str">
            <v>112.473034</v>
          </cell>
        </row>
        <row r="41">
          <cell r="B41" t="str">
            <v>WAHYUDI</v>
          </cell>
          <cell r="C41" t="str">
            <v>SAMPIT</v>
          </cell>
          <cell r="D41" t="str">
            <v>TE</v>
          </cell>
          <cell r="E41" t="str">
            <v>-2.52959</v>
          </cell>
          <cell r="F41" t="str">
            <v>112.94859</v>
          </cell>
        </row>
        <row r="42">
          <cell r="B42" t="str">
            <v>Mei Nugroho Dwi Laksono</v>
          </cell>
          <cell r="C42" t="str">
            <v>PANGKALANBUN</v>
          </cell>
          <cell r="D42" t="str">
            <v>TE</v>
          </cell>
          <cell r="E42" t="str">
            <v>-2.185169</v>
          </cell>
          <cell r="F42" t="str">
            <v>111.452512</v>
          </cell>
        </row>
        <row r="43">
          <cell r="B43" t="str">
            <v>Arif Joniawan</v>
          </cell>
          <cell r="C43" t="str">
            <v>PANGKALANBUN</v>
          </cell>
          <cell r="D43" t="str">
            <v>TE</v>
          </cell>
          <cell r="E43" t="str">
            <v>-2.663056</v>
          </cell>
          <cell r="F43" t="str">
            <v>111.260303</v>
          </cell>
        </row>
        <row r="44">
          <cell r="B44" t="str">
            <v>DAYU SHANDY</v>
          </cell>
          <cell r="C44" t="str">
            <v>SAMPIT</v>
          </cell>
          <cell r="D44" t="str">
            <v>TF</v>
          </cell>
          <cell r="E44" t="str">
            <v>-1.8605120</v>
          </cell>
          <cell r="F44" t="str">
            <v>112.6649540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8"/>
  <sheetViews>
    <sheetView tabSelected="1" workbookViewId="0">
      <selection activeCell="F43" sqref="F43"/>
    </sheetView>
  </sheetViews>
  <sheetFormatPr defaultColWidth="8.72727272727273" defaultRowHeight="14.5" outlineLevelCol="3"/>
  <cols>
    <col min="1" max="1" width="30.2727272727273" customWidth="1"/>
    <col min="2" max="2" width="21.1818181818182" customWidth="1"/>
  </cols>
  <sheetData>
    <row r="1" spans="1:4">
      <c r="A1" s="1" t="s">
        <v>0</v>
      </c>
      <c r="B1" s="2" t="s">
        <v>1</v>
      </c>
      <c r="C1" s="3" t="s">
        <v>2</v>
      </c>
      <c r="D1" s="3" t="s">
        <v>3</v>
      </c>
    </row>
    <row r="2" spans="1:4">
      <c r="A2" s="2" t="s">
        <v>4</v>
      </c>
      <c r="B2" s="4" t="s">
        <v>5</v>
      </c>
      <c r="C2" s="7" t="str">
        <f>VLOOKUP(A2,[1]FME!$B$2:$E$44,4,FALSE)</f>
        <v>-1.870035</v>
      </c>
      <c r="D2" s="7" t="str">
        <f>VLOOKUP(A2,[1]FME!$B$2:$F$44,5,FALSE)</f>
        <v>109.969371</v>
      </c>
    </row>
    <row r="3" spans="1:4">
      <c r="A3" s="2" t="s">
        <v>6</v>
      </c>
      <c r="B3" s="4" t="s">
        <v>5</v>
      </c>
      <c r="C3" s="7" t="str">
        <f>VLOOKUP(A3,[1]FME!$B$2:$E$44,4,FALSE)</f>
        <v>-1.102318</v>
      </c>
      <c r="D3" s="7" t="str">
        <f>VLOOKUP(A3,[1]FME!$B$2:$F$44,5,FALSE)</f>
        <v>109.961244</v>
      </c>
    </row>
    <row r="4" spans="1:4">
      <c r="A4" s="2" t="s">
        <v>7</v>
      </c>
      <c r="B4" s="4" t="s">
        <v>5</v>
      </c>
      <c r="C4" s="7" t="str">
        <f>VLOOKUP(A4,[1]FME!$B$2:$E$44,4,FALSE)</f>
        <v>-1.85291</v>
      </c>
      <c r="D4" s="7" t="str">
        <f>VLOOKUP(A4,[1]FME!$B$2:$F$44,5,FALSE)</f>
        <v>109.958184</v>
      </c>
    </row>
    <row r="5" spans="1:4">
      <c r="A5" s="2" t="s">
        <v>8</v>
      </c>
      <c r="B5" s="4" t="s">
        <v>5</v>
      </c>
      <c r="C5" s="7" t="str">
        <f>VLOOKUP(A5,[1]FME!$B$2:$E$44,4,FALSE)</f>
        <v>-1.25064</v>
      </c>
      <c r="D5" s="7" t="str">
        <f>VLOOKUP(A5,[1]FME!$B$2:$F$44,5,FALSE)</f>
        <v>110.51905</v>
      </c>
    </row>
    <row r="6" spans="1:4">
      <c r="A6" s="2" t="s">
        <v>9</v>
      </c>
      <c r="B6" s="4" t="s">
        <v>5</v>
      </c>
      <c r="C6" s="7" t="str">
        <f>VLOOKUP(A6,[1]FME!$B$2:$E$44,4,FALSE)</f>
        <v>-2.521661</v>
      </c>
      <c r="D6" s="7" t="str">
        <f>VLOOKUP(A6,[1]FME!$B$2:$F$44,5,FALSE)</f>
        <v>110.209177</v>
      </c>
    </row>
    <row r="7" spans="1:4">
      <c r="A7" s="2" t="s">
        <v>10</v>
      </c>
      <c r="B7" s="4" t="s">
        <v>5</v>
      </c>
      <c r="C7" s="7" t="str">
        <f>VLOOKUP(A7,[1]FME!$B$2:$E$44,4,FALSE)</f>
        <v>-1.488357</v>
      </c>
      <c r="D7" s="7" t="str">
        <f>VLOOKUP(A7,[1]FME!$B$2:$F$44,5,FALSE)</f>
        <v>110.567107</v>
      </c>
    </row>
    <row r="8" spans="1:4">
      <c r="A8" s="2" t="s">
        <v>11</v>
      </c>
      <c r="B8" s="4" t="s">
        <v>5</v>
      </c>
      <c r="C8" s="7" t="str">
        <f>VLOOKUP(A8,[1]FME!$B$2:$E$44,4,FALSE)</f>
        <v>-1.246109</v>
      </c>
      <c r="D8" s="7" t="str">
        <f>VLOOKUP(A8,[1]FME!$B$2:$F$44,5,FALSE)</f>
        <v>110.521564</v>
      </c>
    </row>
    <row r="9" spans="1:4">
      <c r="A9" s="2" t="s">
        <v>12</v>
      </c>
      <c r="B9" s="4" t="s">
        <v>5</v>
      </c>
      <c r="C9" s="7" t="str">
        <f>VLOOKUP(A9,[1]FME!$B$2:$E$44,4,FALSE)</f>
        <v>-1.826717</v>
      </c>
      <c r="D9" s="7" t="str">
        <f>VLOOKUP(A9,[1]FME!$B$2:$F$44,5,FALSE)</f>
        <v>110.61551</v>
      </c>
    </row>
    <row r="10" spans="1:4">
      <c r="A10" s="2" t="s">
        <v>13</v>
      </c>
      <c r="B10" s="4" t="s">
        <v>5</v>
      </c>
      <c r="C10" s="7" t="str">
        <f>VLOOKUP(A10,[1]FME!$B$2:$E$44,4,FALSE)</f>
        <v>-2.316346</v>
      </c>
      <c r="D10" s="7" t="str">
        <f>VLOOKUP(A10,[1]FME!$B$2:$F$44,5,FALSE)</f>
        <v>110.824226</v>
      </c>
    </row>
    <row r="11" spans="1:4">
      <c r="A11" s="2" t="s">
        <v>14</v>
      </c>
      <c r="B11" s="4" t="s">
        <v>5</v>
      </c>
      <c r="C11" s="7" t="str">
        <f>VLOOKUP(A11,[1]FME!$B$2:$E$44,4,FALSE)</f>
        <v>-2.45948</v>
      </c>
      <c r="D11" s="7" t="str">
        <f>VLOOKUP(A11,[1]FME!$B$2:$F$44,5,FALSE)</f>
        <v>111.027334</v>
      </c>
    </row>
    <row r="12" spans="1:4">
      <c r="A12" s="2" t="s">
        <v>15</v>
      </c>
      <c r="B12" s="4" t="s">
        <v>5</v>
      </c>
      <c r="C12" s="7" t="str">
        <f>VLOOKUP(A12,[1]FME!$B$2:$E$44,4,FALSE)</f>
        <v>-3.3833150</v>
      </c>
      <c r="D12" s="7" t="str">
        <f>VLOOKUP(A12,[1]FME!$B$2:$F$44,5,FALSE)</f>
        <v>112.5405820</v>
      </c>
    </row>
    <row r="13" spans="1:4">
      <c r="A13" s="2" t="s">
        <v>16</v>
      </c>
      <c r="B13" s="4" t="s">
        <v>5</v>
      </c>
      <c r="C13" s="7" t="str">
        <f>VLOOKUP(A13,[1]FME!$B$2:$E$44,4,FALSE)</f>
        <v>-2.185169</v>
      </c>
      <c r="D13" s="7" t="str">
        <f>VLOOKUP(A13,[1]FME!$B$2:$F$44,5,FALSE)</f>
        <v>111.452512</v>
      </c>
    </row>
    <row r="14" spans="1:4">
      <c r="A14" s="2" t="s">
        <v>17</v>
      </c>
      <c r="B14" s="4" t="s">
        <v>5</v>
      </c>
      <c r="C14" s="7" t="str">
        <f>VLOOKUP(A14,[1]FME!$B$2:$E$44,4,FALSE)</f>
        <v>-2.193976</v>
      </c>
      <c r="D14" s="7" t="str">
        <f>VLOOKUP(A14,[1]FME!$B$2:$F$44,5,FALSE)</f>
        <v>111.4407631</v>
      </c>
    </row>
    <row r="15" spans="1:4">
      <c r="A15" s="2" t="s">
        <v>18</v>
      </c>
      <c r="B15" s="4" t="s">
        <v>5</v>
      </c>
      <c r="C15" s="7" t="str">
        <f>VLOOKUP(A15,[1]FME!$B$2:$E$44,4,FALSE)</f>
        <v>-2.4241526</v>
      </c>
      <c r="D15" s="7" t="str">
        <f>VLOOKUP(A15,[1]FME!$B$2:$F$44,5,FALSE)</f>
        <v>111.1016752</v>
      </c>
    </row>
    <row r="16" spans="1:4">
      <c r="A16" s="2" t="s">
        <v>19</v>
      </c>
      <c r="B16" s="4" t="s">
        <v>5</v>
      </c>
      <c r="C16" s="7" t="str">
        <f>VLOOKUP(A16,[1]FME!$B$2:$E$44,4,FALSE)</f>
        <v>-2.463143</v>
      </c>
      <c r="D16" s="7" t="str">
        <f>VLOOKUP(A16,[1]FME!$B$2:$F$44,5,FALSE)</f>
        <v>112.44791</v>
      </c>
    </row>
    <row r="17" spans="1:4">
      <c r="A17" s="2" t="s">
        <v>20</v>
      </c>
      <c r="B17" s="4" t="s">
        <v>5</v>
      </c>
      <c r="C17" s="7" t="str">
        <f>VLOOKUP(A17,[1]FME!$B$2:$E$44,4,FALSE)</f>
        <v>-2.70034</v>
      </c>
      <c r="D17" s="7" t="str">
        <f>VLOOKUP(A17,[1]FME!$B$2:$F$44,5,FALSE)</f>
        <v>111.6329</v>
      </c>
    </row>
    <row r="18" spans="1:4">
      <c r="A18" s="2" t="s">
        <v>21</v>
      </c>
      <c r="B18" s="4" t="s">
        <v>5</v>
      </c>
      <c r="C18" s="7" t="str">
        <f>VLOOKUP(A18,[1]FME!$B$2:$E$44,4,FALSE)</f>
        <v>-2.52924</v>
      </c>
      <c r="D18">
        <f>VLOOKUP(A18,[1]FME!$B$2:$F$44,5,FALSE)</f>
        <v>112.94876</v>
      </c>
    </row>
    <row r="19" spans="1:4">
      <c r="A19" s="2" t="s">
        <v>22</v>
      </c>
      <c r="B19" s="4" t="s">
        <v>5</v>
      </c>
      <c r="C19" s="7" t="str">
        <f>VLOOKUP(A19,[1]FME!$B$2:$E$44,4,FALSE)</f>
        <v>-2.022953</v>
      </c>
      <c r="D19" s="7" t="str">
        <f>VLOOKUP(A19,[1]FME!$B$2:$F$44,5,FALSE)</f>
        <v>112.788943</v>
      </c>
    </row>
    <row r="20" spans="1:4">
      <c r="A20" s="2" t="s">
        <v>23</v>
      </c>
      <c r="B20" s="4" t="s">
        <v>5</v>
      </c>
      <c r="C20" s="7" t="str">
        <f>VLOOKUP(A20,[1]FME!$B$2:$E$44,4,FALSE)</f>
        <v>-2.5388</v>
      </c>
      <c r="D20" s="7" t="str">
        <f>VLOOKUP(A20,[1]FME!$B$2:$F$44,5,FALSE)</f>
        <v>112.8923</v>
      </c>
    </row>
    <row r="21" spans="1:4">
      <c r="A21" s="2" t="s">
        <v>24</v>
      </c>
      <c r="B21" s="4" t="s">
        <v>5</v>
      </c>
      <c r="C21" s="7" t="str">
        <f>VLOOKUP(A21,[1]FME!$B$2:$E$44,4,FALSE)</f>
        <v>-1.859777</v>
      </c>
      <c r="D21" s="7" t="str">
        <f>VLOOKUP(A21,[1]FME!$B$2:$F$44,5,FALSE)</f>
        <v>112.664680</v>
      </c>
    </row>
    <row r="22" spans="1:4">
      <c r="A22" s="2" t="s">
        <v>25</v>
      </c>
      <c r="B22" s="4" t="s">
        <v>5</v>
      </c>
      <c r="C22" s="7" t="str">
        <f>VLOOKUP(A22,[1]FME!$B$2:$E$44,4,FALSE)</f>
        <v>-2.70034</v>
      </c>
      <c r="D22" s="7" t="str">
        <f>VLOOKUP(A22,[1]FME!$B$2:$F$44,5,FALSE)</f>
        <v>111.6329</v>
      </c>
    </row>
    <row r="23" spans="1:4">
      <c r="A23" s="2" t="s">
        <v>26</v>
      </c>
      <c r="B23" s="4" t="s">
        <v>5</v>
      </c>
      <c r="C23" s="7" t="str">
        <f>VLOOKUP(A23,[1]FME!$B$2:$E$44,4,FALSE)</f>
        <v>-2.461650</v>
      </c>
      <c r="D23" s="7" t="str">
        <f>VLOOKUP(A23,[1]FME!$B$2:$F$44,5,FALSE)</f>
        <v>112.447721</v>
      </c>
    </row>
    <row r="24" spans="1:4">
      <c r="A24" s="2" t="s">
        <v>27</v>
      </c>
      <c r="B24" s="4" t="s">
        <v>5</v>
      </c>
      <c r="C24" s="7" t="str">
        <f>VLOOKUP(A24,[1]FME!$B$2:$E$44,4,FALSE)</f>
        <v>-2.517327</v>
      </c>
      <c r="D24" s="7" t="str">
        <f>VLOOKUP(A24,[1]FME!$B$2:$F$44,5,FALSE)</f>
        <v>111.7697441</v>
      </c>
    </row>
    <row r="25" spans="1:4">
      <c r="A25" s="2" t="s">
        <v>28</v>
      </c>
      <c r="B25" s="4" t="s">
        <v>5</v>
      </c>
      <c r="C25" s="7" t="str">
        <f>VLOOKUP(A25,[1]FME!$B$2:$E$44,4,FALSE)</f>
        <v>-1.821824</v>
      </c>
      <c r="D25" s="7" t="str">
        <f>VLOOKUP(A25,[1]FME!$B$2:$F$44,5,FALSE)</f>
        <v>109.959643</v>
      </c>
    </row>
    <row r="26" spans="1:4">
      <c r="A26" s="2" t="s">
        <v>29</v>
      </c>
      <c r="B26" s="4" t="s">
        <v>5</v>
      </c>
      <c r="C26" s="7" t="str">
        <f>VLOOKUP(A26,[1]FME!$B$2:$E$44,4,FALSE)</f>
        <v>-2.7118</v>
      </c>
      <c r="D26" s="7" t="str">
        <f>VLOOKUP(A26,[1]FME!$B$2:$F$44,5,FALSE)</f>
        <v>111.6423</v>
      </c>
    </row>
    <row r="27" spans="1:4">
      <c r="A27" s="2" t="s">
        <v>30</v>
      </c>
      <c r="B27" s="4" t="s">
        <v>5</v>
      </c>
      <c r="C27" s="7" t="str">
        <f>VLOOKUP(A27,[1]FME!$B$2:$E$44,4,FALSE)</f>
        <v>-2.51152</v>
      </c>
      <c r="D27" s="7" t="str">
        <f>VLOOKUP(A27,[1]FME!$B$2:$F$44,5,FALSE)</f>
        <v>112.93989</v>
      </c>
    </row>
    <row r="28" spans="1:4">
      <c r="A28" s="2" t="s">
        <v>31</v>
      </c>
      <c r="B28" s="4" t="s">
        <v>5</v>
      </c>
      <c r="C28" s="7" t="str">
        <f>VLOOKUP(A28,[1]FME!$B$2:$E$44,4,FALSE)</f>
        <v>-2.51152</v>
      </c>
      <c r="D28" s="7" t="str">
        <f>VLOOKUP(A28,[1]FME!$B$2:$F$44,5,FALSE)</f>
        <v>112.93989</v>
      </c>
    </row>
    <row r="29" spans="1:4">
      <c r="A29" s="2" t="s">
        <v>32</v>
      </c>
      <c r="B29" s="4" t="s">
        <v>5</v>
      </c>
      <c r="C29" s="7" t="str">
        <f>VLOOKUP(A29,[1]FME!$B$2:$E$44,4,FALSE)</f>
        <v>-1.472642</v>
      </c>
      <c r="D29" s="7" t="str">
        <f>VLOOKUP(A29,[1]FME!$B$2:$F$44,5,FALSE)</f>
        <v>110.559704</v>
      </c>
    </row>
    <row r="30" spans="1:4">
      <c r="A30" s="5" t="s">
        <v>33</v>
      </c>
      <c r="B30" s="4" t="s">
        <v>5</v>
      </c>
      <c r="C30" s="7" t="str">
        <f>VLOOKUP(A30,[1]FME!$B$2:$E$44,4,FALSE)</f>
        <v>-1.827840</v>
      </c>
      <c r="D30" s="7" t="str">
        <f>VLOOKUP(A30,[1]FME!$B$2:$F$44,5,FALSE)</f>
        <v>110.611589</v>
      </c>
    </row>
    <row r="31" spans="1:4">
      <c r="A31" s="2" t="s">
        <v>34</v>
      </c>
      <c r="B31" s="4" t="s">
        <v>5</v>
      </c>
      <c r="C31" s="7" t="str">
        <f>VLOOKUP(A31,[1]FME!$B$2:$E$44,4,FALSE)</f>
        <v>-1.194989</v>
      </c>
      <c r="D31" s="7" t="str">
        <f>VLOOKUP(A31,[1]FME!$B$2:$F$44,5,FALSE)</f>
        <v>110.008519</v>
      </c>
    </row>
    <row r="32" spans="1:4">
      <c r="A32" s="2" t="s">
        <v>35</v>
      </c>
      <c r="B32" s="4" t="s">
        <v>5</v>
      </c>
      <c r="C32" s="7" t="str">
        <f>VLOOKUP(A32,[1]FME!$B$2:$E$44,4,FALSE)</f>
        <v>-2.29781</v>
      </c>
      <c r="D32" s="7" t="str">
        <f>VLOOKUP(A32,[1]FME!$B$2:$F$44,5,FALSE)</f>
        <v>110.84351</v>
      </c>
    </row>
    <row r="33" spans="1:4">
      <c r="A33" s="2" t="s">
        <v>36</v>
      </c>
      <c r="B33" s="4" t="s">
        <v>5</v>
      </c>
      <c r="C33" s="7" t="str">
        <f>VLOOKUP(A33,[1]FME!$B$2:$E$44,4,FALSE)</f>
        <v>-1.849856</v>
      </c>
      <c r="D33" s="7" t="str">
        <f>VLOOKUP(A33,[1]FME!$B$2:$F$44,5,FALSE)</f>
        <v>109.979862</v>
      </c>
    </row>
    <row r="34" spans="1:4">
      <c r="A34" s="2" t="s">
        <v>37</v>
      </c>
      <c r="B34" s="4" t="s">
        <v>5</v>
      </c>
      <c r="C34" s="7" t="str">
        <f>VLOOKUP(A34,[1]FME!$B$2:$E$44,4,FALSE)</f>
        <v>-1.861329</v>
      </c>
      <c r="D34" s="7" t="str">
        <f>VLOOKUP(A34,[1]FME!$B$2:$F$44,5,FALSE)</f>
        <v>112.659606</v>
      </c>
    </row>
    <row r="35" spans="1:4">
      <c r="A35" s="2" t="s">
        <v>38</v>
      </c>
      <c r="B35" s="4" t="s">
        <v>5</v>
      </c>
      <c r="C35" s="7" t="str">
        <f>VLOOKUP(A35,[1]FME!$B$2:$E$44,4,FALSE)</f>
        <v>-2.722527</v>
      </c>
      <c r="D35" s="7" t="str">
        <f>VLOOKUP(A35,[1]FME!$B$2:$F$44,5,FALSE)</f>
        <v>111.583390</v>
      </c>
    </row>
    <row r="36" spans="1:4">
      <c r="A36" s="2" t="s">
        <v>39</v>
      </c>
      <c r="B36" s="4" t="s">
        <v>5</v>
      </c>
      <c r="C36" s="7" t="str">
        <f>VLOOKUP(A36,[1]FME!$B$2:$E$44,4,FALSE)</f>
        <v>-2.03423</v>
      </c>
      <c r="D36" s="7" t="str">
        <f>VLOOKUP(A36,[1]FME!$B$2:$F$44,5,FALSE)</f>
        <v>112.79966</v>
      </c>
    </row>
    <row r="37" spans="1:4">
      <c r="A37" s="2" t="s">
        <v>40</v>
      </c>
      <c r="B37" s="4" t="s">
        <v>5</v>
      </c>
      <c r="C37" s="7" t="str">
        <f>VLOOKUP(A37,[1]FME!$B$2:$E$44,4,FALSE)</f>
        <v>-2.6689</v>
      </c>
      <c r="D37" s="7" t="str">
        <f>VLOOKUP(A37,[1]FME!$B$2:$F$44,5,FALSE)</f>
        <v>111.65701</v>
      </c>
    </row>
    <row r="38" spans="1:4">
      <c r="A38" s="2" t="s">
        <v>41</v>
      </c>
      <c r="B38" s="4" t="s">
        <v>5</v>
      </c>
      <c r="C38" s="7" t="str">
        <f>VLOOKUP(A38,[1]FME!$B$2:$E$44,4,FALSE)</f>
        <v>-2.51152</v>
      </c>
      <c r="D38" s="7" t="str">
        <f>VLOOKUP(A38,[1]FME!$B$2:$F$44,5,FALSE)</f>
        <v>112.93989</v>
      </c>
    </row>
    <row r="39" spans="1:4">
      <c r="A39" s="2" t="s">
        <v>42</v>
      </c>
      <c r="B39" s="4" t="s">
        <v>5</v>
      </c>
      <c r="C39" s="7" t="str">
        <f>VLOOKUP(A39,[1]FME!$B$2:$E$44,4,FALSE)</f>
        <v>-2.708090</v>
      </c>
      <c r="D39" s="7" t="str">
        <f>VLOOKUP(A39,[1]FME!$B$2:$F$44,5,FALSE)</f>
        <v>111.622607</v>
      </c>
    </row>
    <row r="40" spans="1:4">
      <c r="A40" s="2" t="s">
        <v>43</v>
      </c>
      <c r="B40" s="4" t="s">
        <v>5</v>
      </c>
      <c r="C40" s="7" t="str">
        <f>VLOOKUP(A40,[1]FME!$B$2:$E$44,4,FALSE)</f>
        <v>-2.519362</v>
      </c>
      <c r="D40" s="7" t="str">
        <f>VLOOKUP(A40,[1]FME!$B$2:$F$44,5,FALSE)</f>
        <v>112.473034</v>
      </c>
    </row>
    <row r="41" spans="1:4">
      <c r="A41" s="2" t="s">
        <v>44</v>
      </c>
      <c r="B41" s="4" t="s">
        <v>5</v>
      </c>
      <c r="C41" s="7" t="str">
        <f>VLOOKUP(A41,[1]FME!$B$2:$E$44,4,FALSE)</f>
        <v>-2.52959</v>
      </c>
      <c r="D41" s="7" t="str">
        <f>VLOOKUP(A41,[1]FME!$B$2:$F$44,5,FALSE)</f>
        <v>112.94859</v>
      </c>
    </row>
    <row r="42" spans="1:4">
      <c r="A42" s="2" t="s">
        <v>45</v>
      </c>
      <c r="B42" s="4" t="s">
        <v>5</v>
      </c>
      <c r="C42" s="7" t="str">
        <f>VLOOKUP(A42,[1]FME!$B$2:$E$44,4,FALSE)</f>
        <v>-1.8605120</v>
      </c>
      <c r="D42" s="7" t="str">
        <f>VLOOKUP(A42,[1]FME!$B$2:$F$44,5,FALSE)</f>
        <v>112.6649540</v>
      </c>
    </row>
    <row r="43" spans="1:4">
      <c r="A43" s="2" t="s">
        <v>46</v>
      </c>
      <c r="B43" s="4" t="s">
        <v>5</v>
      </c>
      <c r="C43" s="7" t="str">
        <f>VLOOKUP(A43,[1]FME!$B$2:$E$44,4,FALSE)</f>
        <v>-2.185169</v>
      </c>
      <c r="D43" s="7" t="str">
        <f>VLOOKUP(A43,[1]FME!$B$2:$F$44,5,FALSE)</f>
        <v>111.452512</v>
      </c>
    </row>
    <row r="44" spans="1:4">
      <c r="A44" s="2" t="s">
        <v>47</v>
      </c>
      <c r="B44" s="4" t="s">
        <v>5</v>
      </c>
      <c r="C44" s="7" t="str">
        <f>VLOOKUP(A44,[1]FME!$B$2:$E$44,4,FALSE)</f>
        <v>-2.663056</v>
      </c>
      <c r="D44" s="7" t="str">
        <f>VLOOKUP(A44,[1]FME!$B$2:$F$44,5,FALSE)</f>
        <v>111.260303</v>
      </c>
    </row>
    <row r="45" spans="1:4">
      <c r="A45" s="6" t="s">
        <v>48</v>
      </c>
      <c r="B45" s="4" t="s">
        <v>5</v>
      </c>
      <c r="C45" s="7" t="s">
        <v>49</v>
      </c>
      <c r="D45" s="7" t="s">
        <v>50</v>
      </c>
    </row>
    <row r="46" spans="1:4">
      <c r="A46" s="6" t="s">
        <v>51</v>
      </c>
      <c r="B46" s="4" t="s">
        <v>5</v>
      </c>
      <c r="C46" s="7" t="s">
        <v>49</v>
      </c>
      <c r="D46" s="7" t="s">
        <v>50</v>
      </c>
    </row>
    <row r="47" spans="1:4">
      <c r="A47" s="6" t="s">
        <v>52</v>
      </c>
      <c r="B47" s="4" t="s">
        <v>5</v>
      </c>
      <c r="C47" s="7" t="s">
        <v>49</v>
      </c>
      <c r="D47" s="7" t="s">
        <v>50</v>
      </c>
    </row>
    <row r="48" spans="1:4">
      <c r="A48" s="6" t="s">
        <v>53</v>
      </c>
      <c r="B48" s="4" t="s">
        <v>5</v>
      </c>
      <c r="C48" s="7" t="s">
        <v>49</v>
      </c>
      <c r="D48" s="7" t="s">
        <v>50</v>
      </c>
    </row>
    <row r="49" spans="1:4">
      <c r="A49" s="6" t="s">
        <v>54</v>
      </c>
      <c r="B49" s="4" t="s">
        <v>5</v>
      </c>
      <c r="C49" s="7" t="s">
        <v>49</v>
      </c>
      <c r="D49" s="7" t="s">
        <v>50</v>
      </c>
    </row>
    <row r="50" spans="1:4">
      <c r="A50" s="6" t="s">
        <v>55</v>
      </c>
      <c r="B50" s="4" t="s">
        <v>5</v>
      </c>
      <c r="C50" s="7" t="s">
        <v>49</v>
      </c>
      <c r="D50" s="7" t="s">
        <v>50</v>
      </c>
    </row>
    <row r="51" spans="1:4">
      <c r="A51" s="4"/>
      <c r="B51" s="4"/>
    </row>
    <row r="52" spans="1:4">
      <c r="A52" s="4"/>
      <c r="B52" s="4"/>
    </row>
    <row r="53" spans="1:4">
      <c r="A53" s="4"/>
      <c r="B53" s="4"/>
    </row>
    <row r="54" spans="1:4">
      <c r="A54" s="4"/>
      <c r="B54" s="4"/>
    </row>
    <row r="55" spans="1:4">
      <c r="A55" s="4"/>
      <c r="B55" s="4"/>
    </row>
    <row r="56" spans="1:4">
      <c r="A56" s="4"/>
      <c r="B56" s="4"/>
    </row>
    <row r="57" spans="1:4">
      <c r="A57" s="4"/>
      <c r="B57" s="4"/>
    </row>
    <row r="58" spans="1:4">
      <c r="A58" s="4"/>
      <c r="B58" s="4"/>
    </row>
    <row r="59" spans="1:4">
      <c r="A59" s="4"/>
      <c r="B59" s="4"/>
    </row>
    <row r="60" spans="1:4">
      <c r="A60" s="4"/>
      <c r="B60" s="4"/>
    </row>
    <row r="61" spans="1:4">
      <c r="A61" s="4"/>
      <c r="B61" s="4"/>
    </row>
    <row r="62" spans="1:4">
      <c r="A62" s="4"/>
      <c r="B62" s="4"/>
    </row>
    <row r="63" spans="1:4">
      <c r="A63" s="4"/>
      <c r="B63" s="4"/>
    </row>
    <row r="64" spans="1:4">
      <c r="A64" s="4"/>
      <c r="B64" s="4"/>
    </row>
    <row r="65" spans="1:2">
      <c r="A65" s="4"/>
      <c r="B65" s="4"/>
    </row>
    <row r="66" spans="1:2">
      <c r="A66" s="4"/>
      <c r="B66" s="4"/>
    </row>
    <row r="67" spans="1:2">
      <c r="A67" s="4"/>
      <c r="B67" s="4"/>
    </row>
    <row r="68" spans="1:2">
      <c r="A68" s="4"/>
      <c r="B68" s="4"/>
    </row>
    <row r="69" spans="1:2">
      <c r="A69" s="4"/>
      <c r="B69" s="4"/>
    </row>
    <row r="70" spans="1:2">
      <c r="A70" s="4"/>
      <c r="B70" s="4"/>
    </row>
    <row r="71" spans="1:2">
      <c r="A71" s="4"/>
      <c r="B71" s="4"/>
    </row>
    <row r="72" spans="1:2">
      <c r="A72" s="4"/>
      <c r="B72" s="4"/>
    </row>
    <row r="73" spans="1:2">
      <c r="A73" s="4"/>
      <c r="B73" s="4"/>
    </row>
    <row r="74" spans="1:2">
      <c r="A74" s="4"/>
      <c r="B74" s="4"/>
    </row>
    <row r="75" spans="1:2">
      <c r="A75" s="4"/>
      <c r="B75" s="4"/>
    </row>
    <row r="76" spans="1:2">
      <c r="A76" s="4"/>
      <c r="B76" s="4"/>
    </row>
    <row r="77" spans="1:2">
      <c r="A77" s="4"/>
      <c r="B77" s="4"/>
    </row>
    <row r="78" spans="1:2">
      <c r="A78" s="4"/>
      <c r="B78" s="4"/>
    </row>
    <row r="79" spans="1:2">
      <c r="A79" s="4"/>
      <c r="B79" s="4"/>
    </row>
    <row r="80" spans="1:2">
      <c r="A80" s="4"/>
      <c r="B80" s="4"/>
    </row>
    <row r="81" spans="1:2">
      <c r="A81" s="4"/>
      <c r="B81" s="4"/>
    </row>
    <row r="82" spans="1:2">
      <c r="A82" s="4"/>
      <c r="B82" s="4"/>
    </row>
    <row r="83" spans="1:2">
      <c r="A83" s="4"/>
      <c r="B83" s="4"/>
    </row>
    <row r="84" spans="1:2">
      <c r="A84" s="4"/>
      <c r="B84" s="4"/>
    </row>
    <row r="85" spans="1:2">
      <c r="A85" s="4"/>
      <c r="B85" s="4"/>
    </row>
    <row r="86" spans="1:2">
      <c r="A86" s="4"/>
      <c r="B86" s="4"/>
    </row>
    <row r="87" spans="1:2">
      <c r="A87" s="4"/>
      <c r="B87" s="4"/>
    </row>
    <row r="88" spans="1:2">
      <c r="A88" s="4"/>
      <c r="B88" s="4"/>
    </row>
  </sheetData>
  <autoFilter xmlns:etc="http://www.wps.cn/officeDocument/2017/etCustomData" ref="A1:B4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okta pradika</cp:lastModifiedBy>
  <dcterms:created xsi:type="dcterms:W3CDTF">2026-09-15T01:05:00Z</dcterms:created>
  <dcterms:modified xsi:type="dcterms:W3CDTF">2026-10-27T07:09:59Z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2C77E7D7E532497B8BDE36DF0F15B77F_13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