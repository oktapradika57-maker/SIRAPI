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1230"/>
  </bookViews>
  <sheets>
    <sheet name="SDM" sheetId="1" r:id="rId1"/>
  </sheets>
  <definedNames>
    <definedName name="_xlnm._FilterDatabase" localSheetId="0" hidden="1">SDM!$A$1:$B$48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<sst xmlns="http://schemas.openxmlformats.org/spreadsheetml/2006/main" count="4" uniqueCount="4">
  <si>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IRJAN TORO</t>
  </si>
  <si>
    <t>B09263084</t>
  </si>
  <si>
    <t>DIDI RIYADI</t>
  </si>
  <si>
    <t>B09262985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</si>
</sst>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0" borderId="3" xfId="0" applyFont="1" applyBorder="1"/>
    <xf numFmtId="0" fontId="0" fillId="0" borderId="3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9"/>
  <sheetViews>
    <sheetView tabSelected="1" topLeftCell="A31" workbookViewId="0">
      <selection activeCell="B41" sqref="B41"/>
    </sheetView>
  </sheetViews>
  <sheetFormatPr defaultColWidth="13.89" defaultRowHeight="15.75" customHeight="1" outlineLevelCol="1"/>
  <cols>
    <col min="1" max="2" width="32.04" style="1" customWidth="1"/>
    <col min="3" max="16384" width="13.89" style="1"/>
  </cols>
  <sheetData>
    <row r="1" customHeight="1" spans="1:2">
      <c r="A1" s="2" t="str">
        <f>IFERROR(__xludf.DUMMYFUNCTION("""COMPUTED_VALUE"""),"NAMA")</f>
        <v>NAMA</v>
      </c>
      <c r="B1" s="2" t="str">
        <f>IFERROR(__xludf.DUMMYFUNCTION("IMPORTRANGE(""https://docs.google.com/spreadsheets/d/1vbSIMd2hBJrboBtDmv6OVZwNfg3CiiERtFCYGn7heDI/edit"",""Sheet1!A1:Dr232"")"),"NIK")</f>
        <v>NIK</v>
      </c>
    </row>
    <row r="2" customHeight="1" spans="1:2">
      <c r="A2" s="2" t="str">
        <f>IFERROR(__xludf.DUMMYFUNCTION("""COMPUTED_VALUE"""),"OKTA PRADIKA")</f>
        <v>OKTA PRADIKA</v>
      </c>
      <c r="B2" s="2" t="str">
        <f>IFERROR(__xludf.DUMMYFUNCTION("""COMPUTED_VALUE"""),"B0924649")</f>
        <v>B0924649</v>
      </c>
    </row>
    <row r="3" customHeight="1" spans="1:2">
      <c r="A3" s="2" t="str">
        <f>IFERROR(__xludf.DUMMYFUNCTION("""COMPUTED_VALUE"""),"MUHAMAD KIKI FIRMANSYAH")</f>
        <v>MUHAMAD KIKI FIRMANSYAH</v>
      </c>
      <c r="B3" s="2" t="str">
        <f>IFERROR(__xludf.DUMMYFUNCTION("""COMPUTED_VALUE"""),"B09252500")</f>
        <v>B09252500</v>
      </c>
    </row>
    <row r="4" customHeight="1" spans="1:2">
      <c r="A4" s="2" t="str">
        <f>IFERROR(__xludf.DUMMYFUNCTION("""COMPUTED_VALUE"""),"MAWARDAH")</f>
        <v>MAWARDAH</v>
      </c>
      <c r="B4" s="2" t="str">
        <f>IFERROR(__xludf.DUMMYFUNCTION("""COMPUTED_VALUE"""),"B09252501")</f>
        <v>B09252501</v>
      </c>
    </row>
    <row r="5" customHeight="1" spans="1:2">
      <c r="A5" s="2" t="str">
        <f>IFERROR(__xludf.DUMMYFUNCTION("""COMPUTED_VALUE"""),"JUMADI")</f>
        <v>JUMADI</v>
      </c>
      <c r="B5" s="2" t="str">
        <f>IFERROR(__xludf.DUMMYFUNCTION("""COMPUTED_VALUE"""),"B0922195")</f>
        <v>B0922195</v>
      </c>
    </row>
    <row r="6" customHeight="1" spans="1:2">
      <c r="A6" s="2" t="str">
        <f>IFERROR(__xludf.DUMMYFUNCTION("""COMPUTED_VALUE"""),"REYNALDI RICARDO PUTRA")</f>
        <v>REYNALDI RICARDO PUTRA</v>
      </c>
      <c r="B6" s="2" t="str">
        <f>IFERROR(__xludf.DUMMYFUNCTION("""COMPUTED_VALUE"""),"B0923350")</f>
        <v>B0923350</v>
      </c>
    </row>
    <row r="7" customHeight="1" spans="1:2">
      <c r="A7" s="2" t="str">
        <f>IFERROR(__xludf.DUMMYFUNCTION("""COMPUTED_VALUE"""),"JAMES JIMBRIS TAMAILANG")</f>
        <v>JAMES JIMBRIS TAMAILANG</v>
      </c>
      <c r="B7" s="2" t="str">
        <f>IFERROR(__xludf.DUMMYFUNCTION("""COMPUTED_VALUE"""),"B09252163")</f>
        <v>B09252163</v>
      </c>
    </row>
    <row r="8" customHeight="1" spans="1:2">
      <c r="A8" s="2" t="str">
        <f>IFERROR(__xludf.DUMMYFUNCTION("""COMPUTED_VALUE"""),"MUHAMMAD MUKHLIS")</f>
        <v>MUHAMMAD MUKHLIS</v>
      </c>
      <c r="B8" s="2" t="str">
        <f>IFERROR(__xludf.DUMMYFUNCTION("""COMPUTED_VALUE"""),"B09252502")</f>
        <v>B09252502</v>
      </c>
    </row>
    <row r="9" customHeight="1" spans="1:2">
      <c r="A9" s="2" t="str">
        <f>IFERROR(__xludf.DUMMYFUNCTION("""COMPUTED_VALUE"""),"ADI BOWO SANTOSO")</f>
        <v>ADI BOWO SANTOSO</v>
      </c>
      <c r="B9" s="2" t="str">
        <f>IFERROR(__xludf.DUMMYFUNCTION("""COMPUTED_VALUE"""),"B0922194")</f>
        <v>B0922194</v>
      </c>
    </row>
    <row r="10" customHeight="1" spans="1:2">
      <c r="A10" s="2" t="str">
        <f>IFERROR(__xludf.DUMMYFUNCTION("""COMPUTED_VALUE"""),"YAHYA MUHAMAD")</f>
        <v>YAHYA MUHAMAD</v>
      </c>
      <c r="B10" s="2" t="str">
        <f>IFERROR(__xludf.DUMMYFUNCTION("""COMPUTED_VALUE"""),"B09252503")</f>
        <v>B09252503</v>
      </c>
    </row>
    <row r="11" customHeight="1" spans="1:2">
      <c r="A11" s="2" t="str">
        <f>IFERROR(__xludf.DUMMYFUNCTION("""COMPUTED_VALUE"""),"FAHMI")</f>
        <v>FAHMI</v>
      </c>
      <c r="B11" s="2" t="str">
        <f>IFERROR(__xludf.DUMMYFUNCTION("""COMPUTED_VALUE"""),"B09252504")</f>
        <v>B09252504</v>
      </c>
    </row>
    <row r="12" customHeight="1" spans="1:2">
      <c r="A12" s="2" t="str">
        <f>IFERROR(__xludf.DUMMYFUNCTION("""COMPUTED_VALUE"""),"OKY BANGKIT PAMUNGKAS")</f>
        <v>OKY BANGKIT PAMUNGKAS</v>
      </c>
      <c r="B12" s="2" t="str">
        <f>IFERROR(__xludf.DUMMYFUNCTION("""COMPUTED_VALUE"""),"B0923384")</f>
        <v>B0923384</v>
      </c>
    </row>
    <row r="13" customHeight="1" spans="1:2">
      <c r="A13" s="2" t="str">
        <f>IFERROR(__xludf.DUMMYFUNCTION("""COMPUTED_VALUE"""),"MUHAMMAD MUKTI")</f>
        <v>MUHAMMAD MUKTI</v>
      </c>
      <c r="B13" s="2" t="str">
        <f>IFERROR(__xludf.DUMMYFUNCTION("""COMPUTED_VALUE"""),"B09252511")</f>
        <v>B09252511</v>
      </c>
    </row>
    <row r="14" customHeight="1" spans="1:2">
      <c r="A14" s="2" t="str">
        <f>IFERROR(__xludf.DUMMYFUNCTION("""COMPUTED_VALUE"""),"LEONARD HARA")</f>
        <v>LEONARD HARA</v>
      </c>
      <c r="B14" s="2" t="str">
        <f>IFERROR(__xludf.DUMMYFUNCTION("""COMPUTED_VALUE"""),"B09241088")</f>
        <v>B09241088</v>
      </c>
    </row>
    <row r="15" customHeight="1" spans="1:2">
      <c r="A15" s="2" t="str">
        <f>IFERROR(__xludf.DUMMYFUNCTION("""COMPUTED_VALUE"""),"MELKY OKTAVIA TULANGOW")</f>
        <v>MELKY OKTAVIA TULANGOW</v>
      </c>
      <c r="B15" s="2" t="str">
        <f>IFERROR(__xludf.DUMMYFUNCTION("""COMPUTED_VALUE"""),"B09241090")</f>
        <v>B09241090</v>
      </c>
    </row>
    <row r="16" customHeight="1" spans="1:2">
      <c r="A16" s="2" t="str">
        <f>IFERROR(__xludf.DUMMYFUNCTION("""COMPUTED_VALUE"""),"AHMAD SETIAWAN")</f>
        <v>AHMAD SETIAWAN</v>
      </c>
      <c r="B16" s="2" t="str">
        <f>IFERROR(__xludf.DUMMYFUNCTION("""COMPUTED_VALUE"""),"B09241095")</f>
        <v>B09241095</v>
      </c>
    </row>
    <row r="17" customHeight="1" spans="1:2">
      <c r="A17" s="2" t="str">
        <f>IFERROR(__xludf.DUMMYFUNCTION("""COMPUTED_VALUE"""),"SARUL SAPUTRA")</f>
        <v>SARUL SAPUTRA</v>
      </c>
      <c r="B17" s="2" t="str">
        <f>IFERROR(__xludf.DUMMYFUNCTION("""COMPUTED_VALUE"""),"B09241340")</f>
        <v>B09241340</v>
      </c>
    </row>
    <row r="18" customHeight="1" spans="1:2">
      <c r="A18" s="2" t="str">
        <f>IFERROR(__xludf.DUMMYFUNCTION("""COMPUTED_VALUE"""),"AHMAD")</f>
        <v>AHMAD</v>
      </c>
      <c r="B18" s="2" t="str">
        <f>IFERROR(__xludf.DUMMYFUNCTION("""COMPUTED_VALUE"""),"B09241542")</f>
        <v>B09241542</v>
      </c>
    </row>
    <row r="19" customHeight="1" spans="1:2">
      <c r="A19" s="2" t="str">
        <f>IFERROR(__xludf.DUMMYFUNCTION("""COMPUTED_VALUE"""),"MUHAMAD RAYHAN")</f>
        <v>MUHAMAD RAYHAN</v>
      </c>
      <c r="B19" s="2" t="str">
        <f>IFERROR(__xludf.DUMMYFUNCTION("""COMPUTED_VALUE"""),"B09252121")</f>
        <v>B09252121</v>
      </c>
    </row>
    <row r="20" customHeight="1" spans="1:2">
      <c r="A20" s="2" t="str">
        <f>IFERROR(__xludf.DUMMYFUNCTION("""COMPUTED_VALUE"""),"AULIA RAHMAN")</f>
        <v>AULIA RAHMAN</v>
      </c>
      <c r="B20" s="2" t="str">
        <f>IFERROR(__xludf.DUMMYFUNCTION("""COMPUTED_VALUE"""),"B09252383")</f>
        <v>B09252383</v>
      </c>
    </row>
    <row r="21" customHeight="1" spans="1:2">
      <c r="A21" s="2" t="str">
        <f>IFERROR(__xludf.DUMMYFUNCTION("""COMPUTED_VALUE"""),"ARMADI")</f>
        <v>ARMADI</v>
      </c>
      <c r="B21" s="2" t="str">
        <f>IFERROR(__xludf.DUMMYFUNCTION("""COMPUTED_VALUE"""),"B09252601")</f>
        <v>B09252601</v>
      </c>
    </row>
    <row r="22" customHeight="1" spans="1:2">
      <c r="A22" s="2" t="str">
        <f>IFERROR(__xludf.DUMMYFUNCTION("""COMPUTED_VALUE"""),"INDRA")</f>
        <v>INDRA</v>
      </c>
      <c r="B22" s="2" t="str">
        <f>IFERROR(__xludf.DUMMYFUNCTION("""COMPUTED_VALUE"""),"B09252506")</f>
        <v>B09252506</v>
      </c>
    </row>
    <row r="23" customHeight="1" spans="1:2">
      <c r="A23" s="2" t="str">
        <f>IFERROR(__xludf.DUMMYFUNCTION("""COMPUTED_VALUE"""),"DARLI SUTANTO")</f>
        <v>DARLI SUTANTO</v>
      </c>
      <c r="B23" s="2" t="str">
        <f>IFERROR(__xludf.DUMMYFUNCTION("""COMPUTED_VALUE"""),"B09252507")</f>
        <v>B09252507</v>
      </c>
    </row>
    <row r="24" customHeight="1" spans="1:2">
      <c r="A24" s="2" t="str">
        <f>IFERROR(__xludf.DUMMYFUNCTION("""COMPUTED_VALUE"""),"RIKI HIDAYAT")</f>
        <v>RIKI HIDAYAT</v>
      </c>
      <c r="B24" s="2" t="str">
        <f>IFERROR(__xludf.DUMMYFUNCTION("""COMPUTED_VALUE"""),"B09241102")</f>
        <v>B09241102</v>
      </c>
    </row>
    <row r="25" customHeight="1" spans="1:2">
      <c r="A25" s="2" t="str">
        <f>IFERROR(__xludf.DUMMYFUNCTION("""COMPUTED_VALUE"""),"PUJIANTO")</f>
        <v>PUJIANTO</v>
      </c>
      <c r="B25" s="2" t="str">
        <f>IFERROR(__xludf.DUMMYFUNCTION("""COMPUTED_VALUE"""),"B09252509")</f>
        <v>B09252509</v>
      </c>
    </row>
    <row r="26" customHeight="1" spans="1:2">
      <c r="A26" s="2" t="str">
        <f>IFERROR(__xludf.DUMMYFUNCTION("""COMPUTED_VALUE"""),"M. RIFANI")</f>
        <v>M. RIFANI</v>
      </c>
      <c r="B26" s="2" t="str">
        <f>IFERROR(__xludf.DUMMYFUNCTION("""COMPUTED_VALUE"""),"B09262876")</f>
        <v>B09262876</v>
      </c>
    </row>
    <row r="27" customHeight="1" spans="1:2">
      <c r="A27" s="2" t="str">
        <f>IFERROR(__xludf.DUMMYFUNCTION("""COMPUTED_VALUE"""),"HORY YUSMANTO")</f>
        <v>HORY YUSMANTO</v>
      </c>
      <c r="B27" s="2" t="str">
        <f>IFERROR(__xludf.DUMMYFUNCTION("""COMPUTED_VALUE"""),"B09252089")</f>
        <v>B09252089</v>
      </c>
    </row>
    <row r="28" customHeight="1" spans="1:2">
      <c r="A28" s="2" t="str">
        <f>IFERROR(__xludf.DUMMYFUNCTION("""COMPUTED_VALUE"""),"PRADILA KANDI")</f>
        <v>PRADILA KANDI</v>
      </c>
      <c r="B28" s="2" t="str">
        <f>IFERROR(__xludf.DUMMYFUNCTION("""COMPUTED_VALUE"""),"B09262650")</f>
        <v>B09262650</v>
      </c>
    </row>
    <row r="29" customHeight="1" spans="1:2">
      <c r="A29" s="2" t="str">
        <f>IFERROR(__xludf.DUMMYFUNCTION("""COMPUTED_VALUE"""),"FRANS EJHA ADITYA")</f>
        <v>FRANS EJHA ADITYA</v>
      </c>
      <c r="B29" s="2" t="str">
        <f>IFERROR(__xludf.DUMMYFUNCTION("""COMPUTED_VALUE"""),"B09262793")</f>
        <v>B09262793</v>
      </c>
    </row>
    <row r="30" customHeight="1" spans="1:2">
      <c r="A30" s="2" t="str">
        <f>IFERROR(__xludf.DUMMYFUNCTION("""COMPUTED_VALUE"""),"NURHAYAT")</f>
        <v>NURHAYAT</v>
      </c>
      <c r="B30" s="2" t="str">
        <f>IFERROR(__xludf.DUMMYFUNCTION("""COMPUTED_VALUE"""),"B09241107")</f>
        <v>B09241107</v>
      </c>
    </row>
    <row r="31" customHeight="1" spans="1:2">
      <c r="A31" s="2" t="str">
        <f>IFERROR(__xludf.DUMMYFUNCTION("""COMPUTED_VALUE"""),"SARWONO")</f>
        <v>SARWONO</v>
      </c>
      <c r="B31" s="2" t="str">
        <f>IFERROR(__xludf.DUMMYFUNCTION("""COMPUTED_VALUE"""),"B09252512")</f>
        <v>B09252512</v>
      </c>
    </row>
    <row r="32" customHeight="1" spans="1:2">
      <c r="A32" s="2" t="str">
        <f>IFERROR(__xludf.DUMMYFUNCTION("""COMPUTED_VALUE"""),"ALFI SYAHRI")</f>
        <v>ALFI SYAHRI</v>
      </c>
      <c r="B32" s="2" t="str">
        <f>IFERROR(__xludf.DUMMYFUNCTION("""COMPUTED_VALUE"""),"B09252462")</f>
        <v>B09252462</v>
      </c>
    </row>
    <row r="33" customHeight="1" spans="1:2">
      <c r="A33" s="2" t="str">
        <f>IFERROR(__xludf.DUMMYFUNCTION("""COMPUTED_VALUE"""),"OKTA PUTRA UTAMA")</f>
        <v>OKTA PUTRA UTAMA</v>
      </c>
      <c r="B33" s="2" t="str">
        <f>IFERROR(__xludf.DUMMYFUNCTION("""COMPUTED_VALUE"""),"B09252513")</f>
        <v>B09252513</v>
      </c>
    </row>
    <row r="34" customHeight="1" spans="1:2">
      <c r="A34" s="2" t="str">
        <f>IFERROR(__xludf.DUMMYFUNCTION("""COMPUTED_VALUE"""),"M. RIDHA ANSARI")</f>
        <v>M. RIDHA ANSARI</v>
      </c>
      <c r="B34" s="2" t="str">
        <f>IFERROR(__xludf.DUMMYFUNCTION("""COMPUTED_VALUE"""),"B09252505")</f>
        <v>B09252505</v>
      </c>
    </row>
    <row r="35" customHeight="1" spans="1:2">
      <c r="A35" s="2" t="str">
        <f>IFERROR(__xludf.DUMMYFUNCTION("""COMPUTED_VALUE"""),"MUHAMMAD IRFAN YUDA PRATAMA")</f>
        <v>MUHAMMAD IRFAN YUDA PRATAMA</v>
      </c>
      <c r="B35" s="2" t="str">
        <f>IFERROR(__xludf.DUMMYFUNCTION("""COMPUTED_VALUE"""),"B09241091")</f>
        <v>B09241091</v>
      </c>
    </row>
    <row r="36" customHeight="1" spans="1:2">
      <c r="A36" s="2" t="str">
        <f>IFERROR(__xludf.DUMMYFUNCTION("""COMPUTED_VALUE"""),"MUHAMMAD NAZIB")</f>
        <v>MUHAMMAD NAZIB</v>
      </c>
      <c r="B36" s="2" t="str">
        <f>IFERROR(__xludf.DUMMYFUNCTION("""COMPUTED_VALUE"""),"B09241092")</f>
        <v>B09241092</v>
      </c>
    </row>
    <row r="37" customHeight="1" spans="1:2">
      <c r="A37" s="2" t="str">
        <f>IFERROR(__xludf.DUMMYFUNCTION("""COMPUTED_VALUE"""),"TIVIANSYAH")</f>
        <v>TIVIANSYAH</v>
      </c>
      <c r="B37" s="2" t="str">
        <f>IFERROR(__xludf.DUMMYFUNCTION("""COMPUTED_VALUE"""),"B09241098")</f>
        <v>B09241098</v>
      </c>
    </row>
    <row r="38" customHeight="1" spans="1:2">
      <c r="A38" s="2" t="str">
        <f>IFERROR(__xludf.DUMMYFUNCTION("""COMPUTED_VALUE"""),"PUTRA WARDANA")</f>
        <v>PUTRA WARDANA</v>
      </c>
      <c r="B38" s="2" t="str">
        <f>IFERROR(__xludf.DUMMYFUNCTION("""COMPUTED_VALUE"""),"B09241099")</f>
        <v>B09241099</v>
      </c>
    </row>
    <row r="39" customHeight="1" spans="1:2">
      <c r="A39" s="2" t="str">
        <f>IFERROR(__xludf.DUMMYFUNCTION("""COMPUTED_VALUE"""),"SAILILLAH")</f>
        <v>SAILILLAH</v>
      </c>
      <c r="B39" s="2" t="str">
        <f>IFERROR(__xludf.DUMMYFUNCTION("""COMPUTED_VALUE"""),"B09241100")</f>
        <v>B09241100</v>
      </c>
    </row>
    <row r="40" customHeight="1" spans="1:2">
      <c r="A40" s="2" t="str">
        <f>IFERROR(__xludf.DUMMYFUNCTION("""COMPUTED_VALUE"""),"MUNAWIR AHMAD")</f>
        <v>MUNAWIR AHMAD</v>
      </c>
      <c r="B40" s="2" t="str">
        <f>IFERROR(__xludf.DUMMYFUNCTION("""COMPUTED_VALUE"""),"B09241101")</f>
        <v>B09241101</v>
      </c>
    </row>
    <row r="41" customHeight="1" spans="1:2">
      <c r="A41" s="2" t="str">
        <f>IFERROR(__xludf.DUMMYFUNCTION("""COMPUTED_VALUE"""),"MURJANI")</f>
        <v>MURJANI</v>
      </c>
      <c r="B41" s="2" t="str">
        <f>IFERROR(__xludf.DUMMYFUNCTION("""COMPUTED_VALUE"""),"B09252528")</f>
        <v>B09252528</v>
      </c>
    </row>
    <row r="42" customHeight="1" spans="1:2">
      <c r="A42" s="2" t="str">
        <f>IFERROR(__xludf.DUMMYFUNCTION("""COMPUTED_VALUE"""),"KHILAL DAWAI KATIRI")</f>
        <v>KHILAL DAWAI KATIRI</v>
      </c>
      <c r="B42" s="2" t="str">
        <f>IFERROR(__xludf.DUMMYFUNCTION("""COMPUTED_VALUE"""),"B09241106")</f>
        <v>B09241106</v>
      </c>
    </row>
    <row r="43" customHeight="1" spans="1:2">
      <c r="A43" s="2" t="str">
        <f>IFERROR(__xludf.DUMMYFUNCTION("""COMPUTED_VALUE"""),"TAKLIM")</f>
        <v>TAKLIM</v>
      </c>
      <c r="B43" s="2" t="str">
        <f>IFERROR(__xludf.DUMMYFUNCTION("""COMPUTED_VALUE"""),"B09241108")</f>
        <v>B09241108</v>
      </c>
    </row>
    <row r="44" customHeight="1" spans="1:2">
      <c r="A44" s="3" t="str">
        <f>IFERROR(__xludf.DUMMYFUNCTION("""COMPUTED_VALUE"""),"AHMAD MUZAKIR")</f>
        <v>AHMAD MUZAKIR</v>
      </c>
      <c r="B44" s="3" t="str">
        <f>IFERROR(__xludf.DUMMYFUNCTION("""COMPUTED_VALUE"""),"B09241103")</f>
        <v>B09241103</v>
      </c>
    </row>
    <row r="45" customHeight="1" spans="1:2">
      <c r="A45" s="4" t="str">
        <f>IFERROR(__xludf.DUMMYFUNCTION("""COMPUTED_VALUE"""),"HARUN NURASYID")</f>
        <v>HARUN NURASYID</v>
      </c>
      <c r="B45" s="4" t="str">
        <f>IFERROR(__xludf.DUMMYFUNCTION("""COMPUTED_VALUE"""),"B09241341")</f>
        <v>B09241341</v>
      </c>
    </row>
    <row r="46" customHeight="1" spans="1:2">
      <c r="A46" s="4" t="str">
        <f>IFERROR(__xludf.DUMMYFUNCTION("""COMPUTED_VALUE"""),"RIKO SETIADI")</f>
        <v>RIKO SETIADI</v>
      </c>
      <c r="B46" s="4" t="str">
        <f>IFERROR(__xludf.DUMMYFUNCTION("""COMPUTED_VALUE"""),"B09241104")</f>
        <v>B09241104</v>
      </c>
    </row>
    <row r="47" customHeight="1" spans="1:2">
      <c r="A47" s="4" t="str">
        <f>IFERROR(__xludf.DUMMYFUNCTION("""COMPUTED_VALUE"""),"TRISNO SUSANTO")</f>
        <v>TRISNO SUSANTO</v>
      </c>
      <c r="B47" s="4" t="str">
        <f>IFERROR(__xludf.DUMMYFUNCTION("""COMPUTED_VALUE"""),"B09241105")</f>
        <v>B09241105</v>
      </c>
    </row>
    <row r="48" customHeight="1" spans="1:2">
      <c r="A48" s="5" t="s">
        <v>0</v>
      </c>
      <c r="B48" s="5" t="s">
        <v>1</v>
      </c>
    </row>
    <row r="49" customHeight="1" spans="1:2">
      <c r="A49" s="6" t="s">
        <v>2</v>
      </c>
      <c r="B49" s="6" t="s">
        <v>3</v>
      </c>
    </row>
  </sheetData>
  <autoFilter xmlns:etc="http://www.wps.cn/officeDocument/2017/etCustomData" ref="A1:B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okta pradika</cp:lastModifiedBy>
  <dcterms:created xsi:type="dcterms:W3CDTF">2026-09-09T03:02:00Z</dcterms:created>
  <dcterms:modified xsi:type="dcterms:W3CDTF">2026-09-10T04:41:04Z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DCF262ED967049209085E87F73D0FE6B_11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